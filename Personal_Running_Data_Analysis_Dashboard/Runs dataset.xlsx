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sta\Desktop\Projects\"/>
    </mc:Choice>
  </mc:AlternateContent>
  <bookViews>
    <workbookView xWindow="0" yWindow="0" windowWidth="20490" windowHeight="763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2" i="1"/>
  <c r="O3" i="1"/>
  <c r="O4" i="1"/>
  <c r="O5" i="1"/>
  <c r="O6" i="1"/>
  <c r="O7" i="1"/>
  <c r="O8" i="1"/>
  <c r="O9" i="1"/>
  <c r="O2" i="1"/>
  <c r="M3" i="1"/>
  <c r="M4" i="1"/>
  <c r="M5" i="1"/>
  <c r="M6" i="1"/>
  <c r="M7" i="1"/>
  <c r="M8" i="1"/>
  <c r="M9" i="1"/>
  <c r="M2" i="1"/>
  <c r="G2" i="1" l="1"/>
  <c r="G3" i="1"/>
  <c r="G4" i="1"/>
  <c r="G5" i="1"/>
  <c r="G6" i="1"/>
  <c r="G7" i="1"/>
  <c r="G8" i="1"/>
  <c r="G9" i="1"/>
  <c r="D2" i="1"/>
  <c r="D3" i="1"/>
  <c r="D4" i="1"/>
  <c r="D5" i="1"/>
  <c r="D6" i="1"/>
  <c r="D7" i="1"/>
  <c r="D8" i="1"/>
  <c r="D9" i="1"/>
</calcChain>
</file>

<file path=xl/sharedStrings.xml><?xml version="1.0" encoding="utf-8"?>
<sst xmlns="http://schemas.openxmlformats.org/spreadsheetml/2006/main" count="16" uniqueCount="16">
  <si>
    <t>Run Number</t>
  </si>
  <si>
    <t>Distance(km)</t>
  </si>
  <si>
    <t>Total Time(s)</t>
  </si>
  <si>
    <t>Elevation(m)</t>
  </si>
  <si>
    <t>Avg Pace(km/s)</t>
  </si>
  <si>
    <t>First Km(s)</t>
  </si>
  <si>
    <t xml:space="preserve">Second Km(s) </t>
  </si>
  <si>
    <t>Third Km(s)</t>
  </si>
  <si>
    <t xml:space="preserve">Fourth Km(s) </t>
  </si>
  <si>
    <t xml:space="preserve">Fifth Km(s) </t>
  </si>
  <si>
    <t>Last Km(s)</t>
  </si>
  <si>
    <t>Last Km Distance(km)</t>
  </si>
  <si>
    <t>Total Time(m)</t>
  </si>
  <si>
    <t>Avg Pace(km/m)</t>
  </si>
  <si>
    <t>Last Km AvgPace(s/km)</t>
  </si>
  <si>
    <t>Last Km AvgPace(min/km)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</si>
</sst>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/>
    <xf numFmtId="2" fontId="0" fillId="0" borderId="0" xfId="0" applyNumberFormat="1"/>
    <xf numFmtId="1" fontId="0" fillId="0" borderId="0" xfId="0" applyNumberFormat="1"/>
    <xf numFmtId="49" fontId="0" fillId="0" borderId="0" xfId="0" applyNumberFormat="1"/>
    <xf numFmtId="4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tabSelected="1" topLeftCell="F1" workbookViewId="0">
      <selection activeCell="Q15" sqref="Q15"/>
    </sheetView>
  </sheetViews>
  <sheetFormatPr baseColWidth="10" defaultRowHeight="15" x14ac:dyDescent="0.25"/>
  <cols>
    <col min="2" max="2" width="13.5703125" style="2" customWidth="1"/>
    <col min="3" max="3" width="14.7109375" style="2" bestFit="1" customWidth="1"/>
    <col min="4" max="4" width="14.7109375" style="2" customWidth="1"/>
    <col min="5" max="5" width="12.5703125" style="3" customWidth="1"/>
    <col min="6" max="7" width="15.140625" style="3" customWidth="1"/>
    <col min="8" max="8" width="11.42578125" style="4"/>
    <col min="9" max="9" width="13.42578125" style="4" customWidth="1"/>
    <col min="10" max="11" width="11.42578125" style="4"/>
    <col min="12" max="12" width="11.42578125" style="2"/>
    <col min="13" max="13" width="11.42578125" style="4"/>
    <col min="14" max="14" width="21.7109375" style="2" customWidth="1"/>
    <col min="15" max="15" width="22.28515625" style="3" customWidth="1"/>
    <col min="16" max="16" width="24.140625" style="2" customWidth="1"/>
  </cols>
  <sheetData>
    <row r="1" spans="1:16" x14ac:dyDescent="0.25">
      <c r="A1" t="s">
        <v>0</v>
      </c>
      <c r="B1" s="2" t="s">
        <v>1</v>
      </c>
      <c r="C1" s="2" t="s">
        <v>2</v>
      </c>
      <c r="D1" s="2" t="s">
        <v>12</v>
      </c>
      <c r="E1" s="3" t="s">
        <v>3</v>
      </c>
      <c r="F1" s="3" t="s">
        <v>4</v>
      </c>
      <c r="G1" s="3" t="s">
        <v>13</v>
      </c>
      <c r="H1" s="4" t="s">
        <v>5</v>
      </c>
      <c r="I1" s="4" t="s">
        <v>6</v>
      </c>
      <c r="J1" s="4" t="s">
        <v>7</v>
      </c>
      <c r="K1" s="4" t="s">
        <v>8</v>
      </c>
      <c r="L1" s="2" t="s">
        <v>9</v>
      </c>
      <c r="M1" s="4" t="s">
        <v>10</v>
      </c>
      <c r="N1" s="2" t="s">
        <v>11</v>
      </c>
      <c r="O1" s="3" t="s">
        <v>14</v>
      </c>
      <c r="P1" s="2" t="s">
        <v>15</v>
      </c>
    </row>
    <row r="2" spans="1:16" x14ac:dyDescent="0.25">
      <c r="A2">
        <v>1</v>
      </c>
      <c r="B2" s="2">
        <v>2.58</v>
      </c>
      <c r="C2" s="3">
        <v>838</v>
      </c>
      <c r="D2" s="5">
        <f t="shared" ref="D2:D9" si="0">C2/86400</f>
        <v>9.6990740740740735E-3</v>
      </c>
      <c r="E2" s="3">
        <v>40</v>
      </c>
      <c r="F2" s="3">
        <v>325</v>
      </c>
      <c r="G2" s="5">
        <f t="shared" ref="G2:G9" si="1">F2/86400</f>
        <v>3.7615740740740739E-3</v>
      </c>
      <c r="H2">
        <v>279</v>
      </c>
      <c r="I2">
        <v>337</v>
      </c>
      <c r="J2">
        <v>0</v>
      </c>
      <c r="K2">
        <v>0</v>
      </c>
      <c r="L2" s="3">
        <v>0</v>
      </c>
      <c r="M2" s="3">
        <f>C2-(H2+I2+J2+K2+L2)</f>
        <v>222</v>
      </c>
      <c r="N2" s="2">
        <v>0.57999999999999996</v>
      </c>
      <c r="O2" s="3">
        <f>M2/N2</f>
        <v>382.75862068965517</v>
      </c>
      <c r="P2" s="2">
        <f>O2/60</f>
        <v>6.3793103448275863</v>
      </c>
    </row>
    <row r="3" spans="1:16" x14ac:dyDescent="0.25">
      <c r="A3">
        <v>2</v>
      </c>
      <c r="B3" s="2">
        <v>3.77</v>
      </c>
      <c r="C3" s="3">
        <v>1469</v>
      </c>
      <c r="D3" s="5">
        <f t="shared" si="0"/>
        <v>1.7002314814814814E-2</v>
      </c>
      <c r="E3" s="3">
        <v>58</v>
      </c>
      <c r="F3" s="3">
        <v>388</v>
      </c>
      <c r="G3" s="5">
        <f t="shared" si="1"/>
        <v>4.4907407407407405E-3</v>
      </c>
      <c r="H3">
        <v>361</v>
      </c>
      <c r="I3">
        <v>379</v>
      </c>
      <c r="J3">
        <v>395</v>
      </c>
      <c r="K3">
        <v>0</v>
      </c>
      <c r="L3" s="3">
        <v>0</v>
      </c>
      <c r="M3" s="3">
        <f>C3-(H3+I3+J3+K3+L3)</f>
        <v>334</v>
      </c>
      <c r="N3" s="2">
        <v>0.77</v>
      </c>
      <c r="O3" s="3">
        <f t="shared" ref="O3:P9" si="2">M3/N3</f>
        <v>433.76623376623377</v>
      </c>
      <c r="P3" s="2">
        <f t="shared" ref="P3:P9" si="3">O3/60</f>
        <v>7.2294372294372291</v>
      </c>
    </row>
    <row r="4" spans="1:16" x14ac:dyDescent="0.25">
      <c r="A4">
        <v>3</v>
      </c>
      <c r="B4" s="2">
        <v>3.77</v>
      </c>
      <c r="C4" s="3">
        <v>1561</v>
      </c>
      <c r="D4" s="5">
        <f t="shared" si="0"/>
        <v>1.8067129629629631E-2</v>
      </c>
      <c r="E4" s="3">
        <v>56</v>
      </c>
      <c r="F4" s="3">
        <v>414</v>
      </c>
      <c r="G4" s="5">
        <f t="shared" si="1"/>
        <v>4.7916666666666663E-3</v>
      </c>
      <c r="H4">
        <v>403</v>
      </c>
      <c r="I4">
        <v>415</v>
      </c>
      <c r="J4">
        <v>418</v>
      </c>
      <c r="K4">
        <v>0</v>
      </c>
      <c r="L4" s="3">
        <v>0</v>
      </c>
      <c r="M4" s="3">
        <f t="shared" ref="M3:M9" si="4">C4-(H4+I4+J4+K4+L4)</f>
        <v>325</v>
      </c>
      <c r="N4" s="2">
        <v>0.77</v>
      </c>
      <c r="O4" s="3">
        <f t="shared" si="2"/>
        <v>422.0779220779221</v>
      </c>
      <c r="P4" s="2">
        <f t="shared" si="3"/>
        <v>7.0346320346320352</v>
      </c>
    </row>
    <row r="5" spans="1:16" x14ac:dyDescent="0.25">
      <c r="A5">
        <v>4</v>
      </c>
      <c r="B5" s="2">
        <v>4.0199999999999996</v>
      </c>
      <c r="C5" s="3">
        <v>1529</v>
      </c>
      <c r="D5" s="5">
        <f t="shared" si="0"/>
        <v>1.7696759259259259E-2</v>
      </c>
      <c r="E5" s="3">
        <v>62</v>
      </c>
      <c r="F5" s="3">
        <v>380</v>
      </c>
      <c r="G5" s="5">
        <f t="shared" si="1"/>
        <v>4.3981481481481484E-3</v>
      </c>
      <c r="H5">
        <v>373</v>
      </c>
      <c r="I5">
        <v>370</v>
      </c>
      <c r="J5">
        <v>385</v>
      </c>
      <c r="K5">
        <v>0</v>
      </c>
      <c r="L5" s="3">
        <v>0</v>
      </c>
      <c r="M5" s="3">
        <f t="shared" si="4"/>
        <v>401</v>
      </c>
      <c r="N5" s="2">
        <v>1.02</v>
      </c>
      <c r="O5" s="3">
        <f t="shared" si="2"/>
        <v>393.13725490196077</v>
      </c>
      <c r="P5" s="2">
        <f t="shared" si="3"/>
        <v>6.5522875816993462</v>
      </c>
    </row>
    <row r="6" spans="1:16" x14ac:dyDescent="0.25">
      <c r="A6">
        <v>5</v>
      </c>
      <c r="B6" s="2">
        <v>4.51</v>
      </c>
      <c r="C6" s="3">
        <v>1858</v>
      </c>
      <c r="D6" s="5">
        <f t="shared" si="0"/>
        <v>2.150462962962963E-2</v>
      </c>
      <c r="E6" s="3">
        <v>67</v>
      </c>
      <c r="F6" s="3">
        <v>412</v>
      </c>
      <c r="G6" s="5">
        <f t="shared" si="1"/>
        <v>4.7685185185185183E-3</v>
      </c>
      <c r="H6">
        <v>402</v>
      </c>
      <c r="I6">
        <v>408</v>
      </c>
      <c r="J6">
        <v>407</v>
      </c>
      <c r="K6">
        <v>433</v>
      </c>
      <c r="L6" s="3">
        <v>0</v>
      </c>
      <c r="M6" s="3">
        <f t="shared" si="4"/>
        <v>208</v>
      </c>
      <c r="N6" s="2">
        <v>0.51</v>
      </c>
      <c r="O6" s="3">
        <f t="shared" si="2"/>
        <v>407.84313725490193</v>
      </c>
      <c r="P6" s="2">
        <f t="shared" si="3"/>
        <v>6.7973856209150325</v>
      </c>
    </row>
    <row r="7" spans="1:16" x14ac:dyDescent="0.25">
      <c r="A7">
        <v>6</v>
      </c>
      <c r="B7" s="2">
        <v>4.0599999999999996</v>
      </c>
      <c r="C7" s="3">
        <v>1674</v>
      </c>
      <c r="D7" s="5">
        <f t="shared" si="0"/>
        <v>1.9375E-2</v>
      </c>
      <c r="E7" s="3">
        <v>58</v>
      </c>
      <c r="F7" s="3">
        <v>411</v>
      </c>
      <c r="G7" s="5">
        <f t="shared" si="1"/>
        <v>4.7569444444444447E-3</v>
      </c>
      <c r="H7">
        <v>402</v>
      </c>
      <c r="I7">
        <v>408</v>
      </c>
      <c r="J7">
        <v>417</v>
      </c>
      <c r="K7">
        <v>0</v>
      </c>
      <c r="L7" s="3">
        <v>0</v>
      </c>
      <c r="M7" s="3">
        <f t="shared" si="4"/>
        <v>447</v>
      </c>
      <c r="N7" s="2">
        <v>1.06</v>
      </c>
      <c r="O7" s="3">
        <f t="shared" si="2"/>
        <v>421.69811320754712</v>
      </c>
      <c r="P7" s="2">
        <f t="shared" si="3"/>
        <v>7.0283018867924518</v>
      </c>
    </row>
    <row r="8" spans="1:16" x14ac:dyDescent="0.25">
      <c r="A8">
        <v>7</v>
      </c>
      <c r="B8" s="2">
        <v>4.01</v>
      </c>
      <c r="C8" s="3">
        <v>1584</v>
      </c>
      <c r="D8" s="5">
        <f t="shared" si="0"/>
        <v>1.8333333333333333E-2</v>
      </c>
      <c r="E8" s="3">
        <v>56</v>
      </c>
      <c r="F8" s="3">
        <v>395</v>
      </c>
      <c r="G8" s="5">
        <f t="shared" si="1"/>
        <v>4.5717592592592589E-3</v>
      </c>
      <c r="H8">
        <v>370</v>
      </c>
      <c r="I8">
        <v>397</v>
      </c>
      <c r="J8">
        <v>398</v>
      </c>
      <c r="K8">
        <v>0</v>
      </c>
      <c r="L8" s="3">
        <v>0</v>
      </c>
      <c r="M8" s="3">
        <f t="shared" si="4"/>
        <v>419</v>
      </c>
      <c r="N8" s="2">
        <v>1.01</v>
      </c>
      <c r="O8" s="3">
        <f t="shared" si="2"/>
        <v>414.85148514851483</v>
      </c>
      <c r="P8" s="2">
        <f t="shared" si="3"/>
        <v>6.9141914191419138</v>
      </c>
    </row>
    <row r="9" spans="1:16" x14ac:dyDescent="0.25">
      <c r="A9">
        <v>8</v>
      </c>
      <c r="B9" s="2">
        <v>4.01</v>
      </c>
      <c r="C9" s="3">
        <v>1612</v>
      </c>
      <c r="D9" s="5">
        <f t="shared" si="0"/>
        <v>1.8657407407407407E-2</v>
      </c>
      <c r="E9" s="3">
        <v>56</v>
      </c>
      <c r="F9" s="3">
        <v>402</v>
      </c>
      <c r="G9" s="5">
        <f t="shared" si="1"/>
        <v>4.6527777777777774E-3</v>
      </c>
      <c r="H9">
        <v>379</v>
      </c>
      <c r="I9">
        <v>402</v>
      </c>
      <c r="J9">
        <v>403</v>
      </c>
      <c r="K9">
        <v>0</v>
      </c>
      <c r="L9" s="3">
        <v>0</v>
      </c>
      <c r="M9" s="3">
        <f t="shared" si="4"/>
        <v>428</v>
      </c>
      <c r="N9" s="2">
        <v>1.01</v>
      </c>
      <c r="O9" s="3">
        <f t="shared" si="2"/>
        <v>423.76237623762376</v>
      </c>
      <c r="P9" s="2">
        <f t="shared" si="3"/>
        <v>7.0627062706270625</v>
      </c>
    </row>
    <row r="11" spans="1:16" x14ac:dyDescent="0.25">
      <c r="I11" s="1"/>
    </row>
    <row r="12" spans="1:16" x14ac:dyDescent="0.25">
      <c r="I12" s="1"/>
    </row>
    <row r="13" spans="1:16" x14ac:dyDescent="0.25">
      <c r="I13" s="1"/>
    </row>
    <row r="14" spans="1:16" x14ac:dyDescent="0.25">
      <c r="I14" s="1"/>
    </row>
    <row r="15" spans="1:16" x14ac:dyDescent="0.25">
      <c r="I15" s="1"/>
    </row>
    <row r="16" spans="1:16" x14ac:dyDescent="0.25">
      <c r="E16"/>
      <c r="I16" s="1"/>
    </row>
    <row r="17" spans="5:9" x14ac:dyDescent="0.25">
      <c r="E17"/>
      <c r="I17" s="1"/>
    </row>
    <row r="18" spans="5:9" x14ac:dyDescent="0.25">
      <c r="E18"/>
    </row>
    <row r="19" spans="5:9" x14ac:dyDescent="0.25">
      <c r="E19"/>
    </row>
    <row r="20" spans="5:9" x14ac:dyDescent="0.25">
      <c r="E20"/>
    </row>
    <row r="21" spans="5:9" x14ac:dyDescent="0.25">
      <c r="E21"/>
    </row>
    <row r="22" spans="5:9" x14ac:dyDescent="0.25">
      <c r="E22"/>
    </row>
    <row r="23" spans="5:9" x14ac:dyDescent="0.25">
      <c r="E23"/>
    </row>
    <row r="24" spans="5:9" x14ac:dyDescent="0.25">
      <c r="E24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mustapha benslimane</dc:creator>
  <cp:lastModifiedBy>mustapha benslimane</cp:lastModifiedBy>
  <dcterms:created xsi:type="dcterms:W3CDTF">2026-04-17T07:50:56Z</dcterms:created>
  <dcterms:modified xsi:type="dcterms:W3CDTF">2026-04-19T11:13:39Z</dcterms:modified>
</cp:coreProperties>
</file>